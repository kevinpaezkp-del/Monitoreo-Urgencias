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00_INSTRUCCIONES" sheetId="1" r:id="rId1"/>
    <sheet name="01_BASE_32" sheetId="2" r:id="rId2"/>
    <sheet name="02_PEGAR_28" sheetId="3" r:id="rId3"/>
    <sheet name="03_GRAFICOS" sheetId="4" r:id="rId4"/>
    <sheet name="04_DICCIONARIO" sheetId="5" r:id="rId5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328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0"/>
  <sheetViews>
    <sheetView tabSelected="0" workbookViewId="0"/>
  </sheetViews>
  <sheetFormatPr defaultRowHeight="16"/>
  <cols>
    <col min="1" max="1" width="39" customWidth="1"/>
    <col min="2" max="2" width="19" customWidth="1"/>
    <col min="3" max="3" width="19" customWidth="1"/>
    <col min="4" max="4" width="15" customWidth="1"/>
    <col min="5" max="5" width="15" customWidth="1"/>
    <col min="6" max="6" width="20" customWidth="1"/>
    <col min="7" max="7" width="23" customWidth="1"/>
    <col min="8" max="8" width="23" customWidth="1"/>
  </cols>
  <sheetData>
    <row r="1" ht="27" customHeight="1">
      <c r="A1" t="inlineStr">
        <is>
          <t xml:space="preserve">MENTE ESTRATÉGICA</t>
        </is>
      </c>
      <c r="B1" t="inlineStr">
        <is>
          <t xml:space="preserve">Solicitudes de Traslado Interno · datos ficticios</t>
        </is>
      </c>
    </row>
    <row r="2">
      <c r="A2" t="inlineStr">
        <is>
          <t xml:space="preserve">Objetivo</t>
        </is>
      </c>
      <c r="B2" t="inlineStr">
        <is>
          <t xml:space="preserve">Capturar, gestionar y analizar solicitudes de traslado con la misma base.</t>
        </is>
      </c>
    </row>
    <row r="3">
      <c r="A3" t="inlineStr">
        <is>
          <t xml:space="preserve">Paso 1</t>
        </is>
      </c>
      <c r="B3" t="inlineStr">
        <is>
          <t xml:space="preserve">Crear lista vacía en SharePoint y configurar ocho columnas.</t>
        </is>
      </c>
    </row>
    <row r="4">
      <c r="A4" t="inlineStr">
        <is>
          <t xml:space="preserve">Paso 2</t>
        </is>
      </c>
      <c r="B4" t="inlineStr">
        <is>
          <t xml:space="preserve">Crear manualmente TR-001, TR-002, TR-003 y TR-004.</t>
        </is>
      </c>
    </row>
    <row r="5">
      <c r="A5" t="inlineStr">
        <is>
          <t xml:space="preserve">Paso 3</t>
        </is>
      </c>
      <c r="B5" t="inlineStr">
        <is>
          <t xml:space="preserve">Pegar el contenido de hoja 02_PEGAR_28 en vista de cuadrícula.</t>
        </is>
      </c>
    </row>
    <row r="6">
      <c r="A6" t="inlineStr">
        <is>
          <t xml:space="preserve">Paso 4</t>
        </is>
      </c>
      <c r="B6" t="inlineStr">
        <is>
          <t xml:space="preserve">Crear vistas por Estado y Pendientes (Estado &lt;&gt; Cerrado).</t>
        </is>
      </c>
    </row>
    <row r="7">
      <c r="A7" t="inlineStr">
        <is>
          <t xml:space="preserve">Paso 5</t>
        </is>
      </c>
      <c r="B7" t="inlineStr">
        <is>
          <t xml:space="preserve">Exportar la lista a Excel y usar Datos → Actualizar todo.</t>
        </is>
      </c>
    </row>
    <row r="8">
      <c r="A8" t="inlineStr">
        <is>
          <t xml:space="preserve">Paso 6</t>
        </is>
      </c>
      <c r="B8" t="inlineStr">
        <is>
          <t xml:space="preserve">Crear HTML con los prompts y probar flujo de correo con Power Automate.</t>
        </is>
      </c>
    </row>
    <row r="9">
      <c r="A9" t="inlineStr">
        <is>
          <t xml:space="preserve">Paso 7</t>
        </is>
      </c>
      <c r="B9" t="inlineStr">
        <is>
          <t xml:space="preserve">Repetir el caso en Slack con la misma base.</t>
        </is>
      </c>
    </row>
    <row r="10">
      <c r="A10" t="inlineStr">
        <is>
          <t xml:space="preserve">Recordatorio</t>
        </is>
      </c>
      <c r="B10" t="inlineStr">
        <is>
          <t xml:space="preserve">No usar datos clínicos reales.</t>
        </is>
      </c>
    </row>
  </sheetData>
</worksheet>
</file>

<file path=xl/worksheets/sheet2.xml><?xml version="1.0" encoding="utf-8"?>
<worksheet xmlns="http://schemas.openxmlformats.org/spreadsheetml/2006/main">
  <dimension ref="A1:H33"/>
  <sheetViews>
    <sheetView tabSelected="0" workbookViewId="0">
      <pane ySplit="1" topLeftCell="A2" activePane="bottomLeft" state="frozen"/>
    </sheetView>
  </sheetViews>
  <sheetFormatPr defaultRowHeight="16"/>
  <cols>
    <col min="1" max="1" width="39" customWidth="1"/>
    <col min="2" max="2" width="19" customWidth="1"/>
    <col min="3" max="3" width="19" customWidth="1"/>
    <col min="4" max="4" width="15" customWidth="1"/>
    <col min="5" max="5" width="15" customWidth="1"/>
    <col min="6" max="6" width="20" customWidth="1"/>
    <col min="7" max="7" width="23" customWidth="1"/>
    <col min="8" max="8" width="23" customWidth="1"/>
  </cols>
  <sheetData>
    <row r="1" ht="27" customHeight="1">
      <c r="A1" t="inlineStr" s="1">
        <is>
          <t xml:space="preserve">Solicitud</t>
        </is>
      </c>
      <c r="B1" t="inlineStr" s="1">
        <is>
          <t xml:space="preserve">Origen</t>
        </is>
      </c>
      <c r="C1" t="inlineStr" s="1">
        <is>
          <t xml:space="preserve">Destino</t>
        </is>
      </c>
      <c r="D1" t="inlineStr" s="1">
        <is>
          <t xml:space="preserve">Prioridad</t>
        </is>
      </c>
      <c r="E1" t="inlineStr" s="1">
        <is>
          <t xml:space="preserve">Estado</t>
        </is>
      </c>
      <c r="F1" t="inlineStr" s="1">
        <is>
          <t xml:space="preserve">Responsable</t>
        </is>
      </c>
      <c r="G1" t="inlineStr" s="1">
        <is>
          <t xml:space="preserve">FechaSolicitud</t>
        </is>
      </c>
      <c r="H1" t="inlineStr" s="1">
        <is>
          <t xml:space="preserve">FechaCierre</t>
        </is>
      </c>
    </row>
    <row r="2">
      <c r="A2" t="inlineStr">
        <is>
          <t xml:space="preserve">TR-001 · Urgencias a Hospitalización</t>
        </is>
      </c>
      <c r="B2" t="inlineStr">
        <is>
          <t xml:space="preserve">Urgencias</t>
        </is>
      </c>
      <c r="C2" t="inlineStr">
        <is>
          <t xml:space="preserve">Hospitalización</t>
        </is>
      </c>
      <c r="D2" t="inlineStr">
        <is>
          <t xml:space="preserve">Alta</t>
        </is>
      </c>
      <c r="E2" t="inlineStr">
        <is>
          <t xml:space="preserve">Creado</t>
        </is>
      </c>
      <c r="F2" t="inlineStr">
        <is>
          <t xml:space="preserve">Sin asignar</t>
        </is>
      </c>
      <c r="G2" s="2">
        <v>46314.32430555556</v>
      </c>
    </row>
    <row r="3">
      <c r="A3" t="inlineStr">
        <is>
          <t xml:space="preserve">TR-002 · UCI a Imágenes</t>
        </is>
      </c>
      <c r="B3" t="inlineStr">
        <is>
          <t xml:space="preserve">UCI</t>
        </is>
      </c>
      <c r="C3" t="inlineStr">
        <is>
          <t xml:space="preserve">Imágenes</t>
        </is>
      </c>
      <c r="D3" t="inlineStr">
        <is>
          <t xml:space="preserve">Alta</t>
        </is>
      </c>
      <c r="E3" t="inlineStr">
        <is>
          <t xml:space="preserve">Asignado</t>
        </is>
      </c>
      <c r="F3" t="inlineStr">
        <is>
          <t xml:space="preserve">Equipo A</t>
        </is>
      </c>
      <c r="G3" s="2">
        <v>46314.40277777778</v>
      </c>
    </row>
    <row r="4">
      <c r="A4" t="inlineStr">
        <is>
          <t xml:space="preserve">TR-003 · Hospitalización a Imágenes</t>
        </is>
      </c>
      <c r="B4" t="inlineStr">
        <is>
          <t xml:space="preserve">Hospitalización</t>
        </is>
      </c>
      <c r="C4" t="inlineStr">
        <is>
          <t xml:space="preserve">Imágenes</t>
        </is>
      </c>
      <c r="D4" t="inlineStr">
        <is>
          <t xml:space="preserve">Media</t>
        </is>
      </c>
      <c r="E4" t="inlineStr">
        <is>
          <t xml:space="preserve">Cerrado</t>
        </is>
      </c>
      <c r="F4" t="inlineStr">
        <is>
          <t xml:space="preserve">Equipo B</t>
        </is>
      </c>
      <c r="G4" s="2">
        <v>46314.49930555555</v>
      </c>
      <c r="H4" s="2">
        <v>46314.53958333333</v>
      </c>
    </row>
    <row r="5">
      <c r="A5" t="inlineStr">
        <is>
          <t xml:space="preserve">TR-004 · Urgencias a UCI</t>
        </is>
      </c>
      <c r="B5" t="inlineStr">
        <is>
          <t xml:space="preserve">Urgencias</t>
        </is>
      </c>
      <c r="C5" t="inlineStr">
        <is>
          <t xml:space="preserve">UCI</t>
        </is>
      </c>
      <c r="D5" t="inlineStr">
        <is>
          <t xml:space="preserve">Alta</t>
        </is>
      </c>
      <c r="E5" t="inlineStr">
        <is>
          <t xml:space="preserve">Asignado</t>
        </is>
      </c>
      <c r="F5" t="inlineStr">
        <is>
          <t xml:space="preserve">Equipo C</t>
        </is>
      </c>
      <c r="G5" s="2">
        <v>46314.58125</v>
      </c>
    </row>
    <row r="6">
      <c r="A6" t="inlineStr">
        <is>
          <t xml:space="preserve">TR-005 · Hospitalización a UCI</t>
        </is>
      </c>
      <c r="B6" t="inlineStr">
        <is>
          <t xml:space="preserve">Hospitalización</t>
        </is>
      </c>
      <c r="C6" t="inlineStr">
        <is>
          <t xml:space="preserve">UCI</t>
        </is>
      </c>
      <c r="D6" t="inlineStr">
        <is>
          <t xml:space="preserve">Alta</t>
        </is>
      </c>
      <c r="E6" t="inlineStr">
        <is>
          <t xml:space="preserve">Cerrado</t>
        </is>
      </c>
      <c r="F6" t="inlineStr">
        <is>
          <t xml:space="preserve">Equipo A</t>
        </is>
      </c>
      <c r="G6" s="2">
        <v>46314.62777777778</v>
      </c>
      <c r="H6" s="2">
        <v>46314.70972222222</v>
      </c>
    </row>
    <row r="7">
      <c r="A7" t="inlineStr">
        <is>
          <t xml:space="preserve">TR-006 · Urgencias a UCI</t>
        </is>
      </c>
      <c r="B7" t="inlineStr">
        <is>
          <t xml:space="preserve">Urgencias</t>
        </is>
      </c>
      <c r="C7" t="inlineStr">
        <is>
          <t xml:space="preserve">UCI</t>
        </is>
      </c>
      <c r="D7" t="inlineStr">
        <is>
          <t xml:space="preserve">Baja</t>
        </is>
      </c>
      <c r="E7" t="inlineStr">
        <is>
          <t xml:space="preserve">Asignado</t>
        </is>
      </c>
      <c r="F7" t="inlineStr">
        <is>
          <t xml:space="preserve">Equipo A</t>
        </is>
      </c>
      <c r="G7" s="2">
        <v>46314.736805555556</v>
      </c>
    </row>
    <row r="8">
      <c r="A8" t="inlineStr">
        <is>
          <t xml:space="preserve">TR-007 · Urgencias a Hospitalización</t>
        </is>
      </c>
      <c r="B8" t="inlineStr">
        <is>
          <t xml:space="preserve">Urgencias</t>
        </is>
      </c>
      <c r="C8" t="inlineStr">
        <is>
          <t xml:space="preserve">Hospitalización</t>
        </is>
      </c>
      <c r="D8" t="inlineStr">
        <is>
          <t xml:space="preserve">Media</t>
        </is>
      </c>
      <c r="E8" t="inlineStr">
        <is>
          <t xml:space="preserve">Asignado</t>
        </is>
      </c>
      <c r="F8" t="inlineStr">
        <is>
          <t xml:space="preserve">Equipo B</t>
        </is>
      </c>
      <c r="G8" s="2">
        <v>46314.79375</v>
      </c>
    </row>
    <row r="9">
      <c r="A9" t="inlineStr">
        <is>
          <t xml:space="preserve">TR-008 · Hospitalización a UCI</t>
        </is>
      </c>
      <c r="B9" t="inlineStr">
        <is>
          <t xml:space="preserve">Hospitalización</t>
        </is>
      </c>
      <c r="C9" t="inlineStr">
        <is>
          <t xml:space="preserve">UCI</t>
        </is>
      </c>
      <c r="D9" t="inlineStr">
        <is>
          <t xml:space="preserve">Media</t>
        </is>
      </c>
      <c r="E9" t="inlineStr">
        <is>
          <t xml:space="preserve">Cerrado</t>
        </is>
      </c>
      <c r="F9" t="inlineStr">
        <is>
          <t xml:space="preserve">Equipo C</t>
        </is>
      </c>
      <c r="G9" s="2">
        <v>46314.885416666664</v>
      </c>
      <c r="H9" s="2">
        <v>46315.175</v>
      </c>
    </row>
    <row r="10">
      <c r="A10" t="inlineStr">
        <is>
          <t xml:space="preserve">TR-009 · UCI a Hospitalización</t>
        </is>
      </c>
      <c r="B10" t="inlineStr">
        <is>
          <t xml:space="preserve">UCI</t>
        </is>
      </c>
      <c r="C10" t="inlineStr">
        <is>
          <t xml:space="preserve">Hospitalización</t>
        </is>
      </c>
      <c r="D10" t="inlineStr">
        <is>
          <t xml:space="preserve">Baja</t>
        </is>
      </c>
      <c r="E10" t="inlineStr">
        <is>
          <t xml:space="preserve">Asignado</t>
        </is>
      </c>
      <c r="F10" t="inlineStr">
        <is>
          <t xml:space="preserve">Equipo B</t>
        </is>
      </c>
      <c r="G10" s="2">
        <v>46315.004166666666</v>
      </c>
    </row>
    <row r="11">
      <c r="A11" t="inlineStr">
        <is>
          <t xml:space="preserve">TR-010 · Quirófano a UCI</t>
        </is>
      </c>
      <c r="B11" t="inlineStr">
        <is>
          <t xml:space="preserve">Quirófano</t>
        </is>
      </c>
      <c r="C11" t="inlineStr">
        <is>
          <t xml:space="preserve">UCI</t>
        </is>
      </c>
      <c r="D11" t="inlineStr">
        <is>
          <t xml:space="preserve">Media</t>
        </is>
      </c>
      <c r="E11" t="inlineStr">
        <is>
          <t xml:space="preserve">Cerrado</t>
        </is>
      </c>
      <c r="F11" t="inlineStr">
        <is>
          <t xml:space="preserve">Equipo A</t>
        </is>
      </c>
      <c r="G11" s="2">
        <v>46315.08263888889</v>
      </c>
      <c r="H11" s="2">
        <v>46315.37291666667</v>
      </c>
    </row>
    <row r="12">
      <c r="A12" t="inlineStr">
        <is>
          <t xml:space="preserve">TR-011 · Hospitalización a UCI</t>
        </is>
      </c>
      <c r="B12" t="inlineStr">
        <is>
          <t xml:space="preserve">Hospitalización</t>
        </is>
      </c>
      <c r="C12" t="inlineStr">
        <is>
          <t xml:space="preserve">UCI</t>
        </is>
      </c>
      <c r="D12" t="inlineStr">
        <is>
          <t xml:space="preserve">Baja</t>
        </is>
      </c>
      <c r="E12" t="inlineStr">
        <is>
          <t xml:space="preserve">Asignado</t>
        </is>
      </c>
      <c r="F12" t="inlineStr">
        <is>
          <t xml:space="preserve">Equipo B</t>
        </is>
      </c>
      <c r="G12" s="2">
        <v>46315.149305555555</v>
      </c>
    </row>
    <row r="13">
      <c r="A13" t="inlineStr">
        <is>
          <t xml:space="preserve">TR-012 · Urgencias a Hospitalización</t>
        </is>
      </c>
      <c r="B13" t="inlineStr">
        <is>
          <t xml:space="preserve">Urgencias</t>
        </is>
      </c>
      <c r="C13" t="inlineStr">
        <is>
          <t xml:space="preserve">Hospitalización</t>
        </is>
      </c>
      <c r="D13" t="inlineStr">
        <is>
          <t xml:space="preserve">Alta</t>
        </is>
      </c>
      <c r="E13" t="inlineStr">
        <is>
          <t xml:space="preserve">Creado</t>
        </is>
      </c>
      <c r="F13" t="inlineStr">
        <is>
          <t xml:space="preserve">Sin asignar</t>
        </is>
      </c>
      <c r="G13" s="2">
        <v>46315.25625</v>
      </c>
    </row>
    <row r="14">
      <c r="A14" t="inlineStr">
        <is>
          <t xml:space="preserve">TR-013 · Quirófano a Imágenes</t>
        </is>
      </c>
      <c r="B14" t="inlineStr">
        <is>
          <t xml:space="preserve">Quirófano</t>
        </is>
      </c>
      <c r="C14" t="inlineStr">
        <is>
          <t xml:space="preserve">Imágenes</t>
        </is>
      </c>
      <c r="D14" t="inlineStr">
        <is>
          <t xml:space="preserve">Alta</t>
        </is>
      </c>
      <c r="E14" t="inlineStr">
        <is>
          <t xml:space="preserve">Asignado</t>
        </is>
      </c>
      <c r="F14" t="inlineStr">
        <is>
          <t xml:space="preserve">Equipo A</t>
        </is>
      </c>
      <c r="G14" s="2">
        <v>46315.30902777778</v>
      </c>
    </row>
    <row r="15">
      <c r="A15" t="inlineStr">
        <is>
          <t xml:space="preserve">TR-014 · Quirófano a Hospitalización</t>
        </is>
      </c>
      <c r="B15" t="inlineStr">
        <is>
          <t xml:space="preserve">Quirófano</t>
        </is>
      </c>
      <c r="C15" t="inlineStr">
        <is>
          <t xml:space="preserve">Hospitalización</t>
        </is>
      </c>
      <c r="D15" t="inlineStr">
        <is>
          <t xml:space="preserve">Baja</t>
        </is>
      </c>
      <c r="E15" t="inlineStr">
        <is>
          <t xml:space="preserve">Creado</t>
        </is>
      </c>
      <c r="F15" t="inlineStr">
        <is>
          <t xml:space="preserve">Sin asignar</t>
        </is>
      </c>
      <c r="G15" s="2">
        <v>46315.41736111111</v>
      </c>
    </row>
    <row r="16">
      <c r="A16" t="inlineStr">
        <is>
          <t xml:space="preserve">TR-015 · Hospitalización a Imágenes</t>
        </is>
      </c>
      <c r="B16" t="inlineStr">
        <is>
          <t xml:space="preserve">Hospitalización</t>
        </is>
      </c>
      <c r="C16" t="inlineStr">
        <is>
          <t xml:space="preserve">Imágenes</t>
        </is>
      </c>
      <c r="D16" t="inlineStr">
        <is>
          <t xml:space="preserve">Baja</t>
        </is>
      </c>
      <c r="E16" t="inlineStr">
        <is>
          <t xml:space="preserve">Asignado</t>
        </is>
      </c>
      <c r="F16" t="inlineStr">
        <is>
          <t xml:space="preserve">Equipo C</t>
        </is>
      </c>
      <c r="G16" s="2">
        <v>46315.490277777775</v>
      </c>
    </row>
    <row r="17">
      <c r="A17" t="inlineStr">
        <is>
          <t xml:space="preserve">TR-016 · Urgencias a Imágenes</t>
        </is>
      </c>
      <c r="B17" t="inlineStr">
        <is>
          <t xml:space="preserve">Urgencias</t>
        </is>
      </c>
      <c r="C17" t="inlineStr">
        <is>
          <t xml:space="preserve">Imágenes</t>
        </is>
      </c>
      <c r="D17" t="inlineStr">
        <is>
          <t xml:space="preserve">Media</t>
        </is>
      </c>
      <c r="E17" t="inlineStr">
        <is>
          <t xml:space="preserve">Cerrado</t>
        </is>
      </c>
      <c r="F17" t="inlineStr">
        <is>
          <t xml:space="preserve">Equipo A</t>
        </is>
      </c>
      <c r="G17" s="2">
        <v>46315.54305555556</v>
      </c>
      <c r="H17" s="2">
        <v>46315.65347222222</v>
      </c>
    </row>
    <row r="18">
      <c r="A18" t="inlineStr">
        <is>
          <t xml:space="preserve">TR-017 · Urgencias a Hospitalización</t>
        </is>
      </c>
      <c r="B18" t="inlineStr">
        <is>
          <t xml:space="preserve">Urgencias</t>
        </is>
      </c>
      <c r="C18" t="inlineStr">
        <is>
          <t xml:space="preserve">Hospitalización</t>
        </is>
      </c>
      <c r="D18" t="inlineStr">
        <is>
          <t xml:space="preserve">Baja</t>
        </is>
      </c>
      <c r="E18" t="inlineStr">
        <is>
          <t xml:space="preserve">Cerrado</t>
        </is>
      </c>
      <c r="F18" t="inlineStr">
        <is>
          <t xml:space="preserve">Equipo B</t>
        </is>
      </c>
      <c r="G18" s="2">
        <v>46315.649305555555</v>
      </c>
      <c r="H18" s="2">
        <v>46315.799305555556</v>
      </c>
    </row>
    <row r="19">
      <c r="A19" t="inlineStr">
        <is>
          <t xml:space="preserve">TR-018 · Quirófano a Imágenes</t>
        </is>
      </c>
      <c r="B19" t="inlineStr">
        <is>
          <t xml:space="preserve">Quirófano</t>
        </is>
      </c>
      <c r="C19" t="inlineStr">
        <is>
          <t xml:space="preserve">Imágenes</t>
        </is>
      </c>
      <c r="D19" t="inlineStr">
        <is>
          <t xml:space="preserve">Media</t>
        </is>
      </c>
      <c r="E19" t="inlineStr">
        <is>
          <t xml:space="preserve">Creado</t>
        </is>
      </c>
      <c r="F19" t="inlineStr">
        <is>
          <t xml:space="preserve">Sin asignar</t>
        </is>
      </c>
      <c r="G19" s="2">
        <v>46315.75625</v>
      </c>
    </row>
    <row r="20">
      <c r="A20" t="inlineStr">
        <is>
          <t xml:space="preserve">TR-019 · Quirófano a UCI</t>
        </is>
      </c>
      <c r="B20" t="inlineStr">
        <is>
          <t xml:space="preserve">Quirófano</t>
        </is>
      </c>
      <c r="C20" t="inlineStr">
        <is>
          <t xml:space="preserve">UCI</t>
        </is>
      </c>
      <c r="D20" t="inlineStr">
        <is>
          <t xml:space="preserve">Baja</t>
        </is>
      </c>
      <c r="E20" t="inlineStr">
        <is>
          <t xml:space="preserve">Cerrado</t>
        </is>
      </c>
      <c r="F20" t="inlineStr">
        <is>
          <t xml:space="preserve">Equipo B</t>
        </is>
      </c>
      <c r="G20" s="2">
        <v>46315.816666666666</v>
      </c>
      <c r="H20" s="2">
        <v>46315.95694444444</v>
      </c>
    </row>
    <row r="21">
      <c r="A21" t="inlineStr">
        <is>
          <t xml:space="preserve">TR-020 · UCI a Quirófano</t>
        </is>
      </c>
      <c r="B21" t="inlineStr">
        <is>
          <t xml:space="preserve">UCI</t>
        </is>
      </c>
      <c r="C21" t="inlineStr">
        <is>
          <t xml:space="preserve">Quirófano</t>
        </is>
      </c>
      <c r="D21" t="inlineStr">
        <is>
          <t xml:space="preserve">Baja</t>
        </is>
      </c>
      <c r="E21" t="inlineStr">
        <is>
          <t xml:space="preserve">Cerrado</t>
        </is>
      </c>
      <c r="F21" t="inlineStr">
        <is>
          <t xml:space="preserve">Equipo A</t>
        </is>
      </c>
      <c r="G21" s="2">
        <v>46315.881944444445</v>
      </c>
      <c r="H21" s="2">
        <v>46315.95208333333</v>
      </c>
    </row>
    <row r="22">
      <c r="A22" t="inlineStr">
        <is>
          <t xml:space="preserve">TR-021 · UCI a Imágenes</t>
        </is>
      </c>
      <c r="B22" t="inlineStr">
        <is>
          <t xml:space="preserve">UCI</t>
        </is>
      </c>
      <c r="C22" t="inlineStr">
        <is>
          <t xml:space="preserve">Imágenes</t>
        </is>
      </c>
      <c r="D22" t="inlineStr">
        <is>
          <t xml:space="preserve">Alta</t>
        </is>
      </c>
      <c r="E22" t="inlineStr">
        <is>
          <t xml:space="preserve">Cerrado</t>
        </is>
      </c>
      <c r="F22" t="inlineStr">
        <is>
          <t xml:space="preserve">Equipo A</t>
        </is>
      </c>
      <c r="G22" s="2">
        <v>46315.99652777778</v>
      </c>
      <c r="H22" s="2">
        <v>46316.259722222225</v>
      </c>
    </row>
    <row r="23">
      <c r="A23" t="inlineStr">
        <is>
          <t xml:space="preserve">TR-022 · Quirófano a Imágenes</t>
        </is>
      </c>
      <c r="B23" t="inlineStr">
        <is>
          <t xml:space="preserve">Quirófano</t>
        </is>
      </c>
      <c r="C23" t="inlineStr">
        <is>
          <t xml:space="preserve">Imágenes</t>
        </is>
      </c>
      <c r="D23" t="inlineStr">
        <is>
          <t xml:space="preserve">Media</t>
        </is>
      </c>
      <c r="E23" t="inlineStr">
        <is>
          <t xml:space="preserve">Cerrado</t>
        </is>
      </c>
      <c r="F23" t="inlineStr">
        <is>
          <t xml:space="preserve">Equipo C</t>
        </is>
      </c>
      <c r="G23" s="2">
        <v>46316.07847222222</v>
      </c>
      <c r="H23" s="2">
        <v>46316.251388888886</v>
      </c>
    </row>
    <row r="24">
      <c r="A24" t="inlineStr">
        <is>
          <t xml:space="preserve">TR-023 · Urgencias a Quirófano</t>
        </is>
      </c>
      <c r="B24" t="inlineStr">
        <is>
          <t xml:space="preserve">Urgencias</t>
        </is>
      </c>
      <c r="C24" t="inlineStr">
        <is>
          <t xml:space="preserve">Quirófano</t>
        </is>
      </c>
      <c r="D24" t="inlineStr">
        <is>
          <t xml:space="preserve">Media</t>
        </is>
      </c>
      <c r="E24" t="inlineStr">
        <is>
          <t xml:space="preserve">Cerrado</t>
        </is>
      </c>
      <c r="F24" t="inlineStr">
        <is>
          <t xml:space="preserve">Equipo C</t>
        </is>
      </c>
      <c r="G24" s="2">
        <v>46316.131944444445</v>
      </c>
      <c r="H24" s="2">
        <v>46316.29652777778</v>
      </c>
    </row>
    <row r="25">
      <c r="A25" t="inlineStr">
        <is>
          <t xml:space="preserve">TR-024 · Urgencias a Quirófano</t>
        </is>
      </c>
      <c r="B25" t="inlineStr">
        <is>
          <t xml:space="preserve">Urgencias</t>
        </is>
      </c>
      <c r="C25" t="inlineStr">
        <is>
          <t xml:space="preserve">Quirófano</t>
        </is>
      </c>
      <c r="D25" t="inlineStr">
        <is>
          <t xml:space="preserve">Media</t>
        </is>
      </c>
      <c r="E25" t="inlineStr">
        <is>
          <t xml:space="preserve">Asignado</t>
        </is>
      </c>
      <c r="F25" t="inlineStr">
        <is>
          <t xml:space="preserve">Equipo A</t>
        </is>
      </c>
      <c r="G25" s="2">
        <v>46316.22777777778</v>
      </c>
    </row>
    <row r="26">
      <c r="A26" t="inlineStr">
        <is>
          <t xml:space="preserve">TR-025 · Urgencias a Imágenes</t>
        </is>
      </c>
      <c r="B26" t="inlineStr">
        <is>
          <t xml:space="preserve">Urgencias</t>
        </is>
      </c>
      <c r="C26" t="inlineStr">
        <is>
          <t xml:space="preserve">Imágenes</t>
        </is>
      </c>
      <c r="D26" t="inlineStr">
        <is>
          <t xml:space="preserve">Baja</t>
        </is>
      </c>
      <c r="E26" t="inlineStr">
        <is>
          <t xml:space="preserve">Creado</t>
        </is>
      </c>
      <c r="F26" t="inlineStr">
        <is>
          <t xml:space="preserve">Sin asignar</t>
        </is>
      </c>
      <c r="G26" s="2">
        <v>46316.325</v>
      </c>
    </row>
    <row r="27">
      <c r="A27" t="inlineStr">
        <is>
          <t xml:space="preserve">TR-026 · Urgencias a Imágenes</t>
        </is>
      </c>
      <c r="B27" t="inlineStr">
        <is>
          <t xml:space="preserve">Urgencias</t>
        </is>
      </c>
      <c r="C27" t="inlineStr">
        <is>
          <t xml:space="preserve">Imágenes</t>
        </is>
      </c>
      <c r="D27" t="inlineStr">
        <is>
          <t xml:space="preserve">Media</t>
        </is>
      </c>
      <c r="E27" t="inlineStr">
        <is>
          <t xml:space="preserve">Asignado</t>
        </is>
      </c>
      <c r="F27" t="inlineStr">
        <is>
          <t xml:space="preserve">Equipo C</t>
        </is>
      </c>
      <c r="G27" s="2">
        <v>46316.39722222222</v>
      </c>
    </row>
    <row r="28">
      <c r="A28" t="inlineStr">
        <is>
          <t xml:space="preserve">TR-027 · Urgencias a UCI</t>
        </is>
      </c>
      <c r="B28" t="inlineStr">
        <is>
          <t xml:space="preserve">Urgencias</t>
        </is>
      </c>
      <c r="C28" t="inlineStr">
        <is>
          <t xml:space="preserve">UCI</t>
        </is>
      </c>
      <c r="D28" t="inlineStr">
        <is>
          <t xml:space="preserve">Alta</t>
        </is>
      </c>
      <c r="E28" t="inlineStr">
        <is>
          <t xml:space="preserve">Cerrado</t>
        </is>
      </c>
      <c r="F28" t="inlineStr">
        <is>
          <t xml:space="preserve">Equipo B</t>
        </is>
      </c>
      <c r="G28" s="2">
        <v>46316.50555555556</v>
      </c>
      <c r="H28" s="2">
        <v>46316.56041666667</v>
      </c>
    </row>
    <row r="29">
      <c r="A29" t="inlineStr">
        <is>
          <t xml:space="preserve">TR-028 · Hospitalización a Imágenes</t>
        </is>
      </c>
      <c r="B29" t="inlineStr">
        <is>
          <t xml:space="preserve">Hospitalización</t>
        </is>
      </c>
      <c r="C29" t="inlineStr">
        <is>
          <t xml:space="preserve">Imágenes</t>
        </is>
      </c>
      <c r="D29" t="inlineStr">
        <is>
          <t xml:space="preserve">Media</t>
        </is>
      </c>
      <c r="E29" t="inlineStr">
        <is>
          <t xml:space="preserve">Cerrado</t>
        </is>
      </c>
      <c r="F29" t="inlineStr">
        <is>
          <t xml:space="preserve">Equipo A</t>
        </is>
      </c>
      <c r="G29" s="2">
        <v>46316.561111111114</v>
      </c>
      <c r="H29" s="2">
        <v>46316.709027777775</v>
      </c>
    </row>
    <row r="30">
      <c r="A30" t="inlineStr">
        <is>
          <t xml:space="preserve">TR-029 · Hospitalización a Quirófano</t>
        </is>
      </c>
      <c r="B30" t="inlineStr">
        <is>
          <t xml:space="preserve">Hospitalización</t>
        </is>
      </c>
      <c r="C30" t="inlineStr">
        <is>
          <t xml:space="preserve">Quirófano</t>
        </is>
      </c>
      <c r="D30" t="inlineStr">
        <is>
          <t xml:space="preserve">Media</t>
        </is>
      </c>
      <c r="E30" t="inlineStr">
        <is>
          <t xml:space="preserve">Cerrado</t>
        </is>
      </c>
      <c r="F30" t="inlineStr">
        <is>
          <t xml:space="preserve">Equipo B</t>
        </is>
      </c>
      <c r="G30" s="2">
        <v>46316.66388888889</v>
      </c>
      <c r="H30" s="2">
        <v>46316.705555555556</v>
      </c>
    </row>
    <row r="31">
      <c r="A31" t="inlineStr">
        <is>
          <t xml:space="preserve">TR-030 · Quirófano a Imágenes</t>
        </is>
      </c>
      <c r="B31" t="inlineStr">
        <is>
          <t xml:space="preserve">Quirófano</t>
        </is>
      </c>
      <c r="C31" t="inlineStr">
        <is>
          <t xml:space="preserve">Imágenes</t>
        </is>
      </c>
      <c r="D31" t="inlineStr">
        <is>
          <t xml:space="preserve">Media</t>
        </is>
      </c>
      <c r="E31" t="inlineStr">
        <is>
          <t xml:space="preserve">Creado</t>
        </is>
      </c>
      <c r="F31" t="inlineStr">
        <is>
          <t xml:space="preserve">Sin asignar</t>
        </is>
      </c>
      <c r="G31" s="2">
        <v>46316.72152777778</v>
      </c>
    </row>
    <row r="32">
      <c r="A32" t="inlineStr">
        <is>
          <t xml:space="preserve">TR-031 · Hospitalización a Quirófano</t>
        </is>
      </c>
      <c r="B32" t="inlineStr">
        <is>
          <t xml:space="preserve">Hospitalización</t>
        </is>
      </c>
      <c r="C32" t="inlineStr">
        <is>
          <t xml:space="preserve">Quirófano</t>
        </is>
      </c>
      <c r="D32" t="inlineStr">
        <is>
          <t xml:space="preserve">Media</t>
        </is>
      </c>
      <c r="E32" t="inlineStr">
        <is>
          <t xml:space="preserve">Asignado</t>
        </is>
      </c>
      <c r="F32" t="inlineStr">
        <is>
          <t xml:space="preserve">Equipo B</t>
        </is>
      </c>
      <c r="G32" s="2">
        <v>46316.80694444444</v>
      </c>
    </row>
    <row r="33">
      <c r="A33" t="inlineStr">
        <is>
          <t xml:space="preserve">TR-032 · Hospitalización a Quirófano</t>
        </is>
      </c>
      <c r="B33" t="inlineStr">
        <is>
          <t xml:space="preserve">Hospitalización</t>
        </is>
      </c>
      <c r="C33" t="inlineStr">
        <is>
          <t xml:space="preserve">Quirófano</t>
        </is>
      </c>
      <c r="D33" t="inlineStr">
        <is>
          <t xml:space="preserve">Alta</t>
        </is>
      </c>
      <c r="E33" t="inlineStr">
        <is>
          <t xml:space="preserve">Cerrado</t>
        </is>
      </c>
      <c r="F33" t="inlineStr">
        <is>
          <t xml:space="preserve">Equipo A</t>
        </is>
      </c>
      <c r="G33" s="2">
        <v>46316.89375</v>
      </c>
      <c r="H33" s="2">
        <v>46317.07916666667</v>
      </c>
    </row>
  </sheetData>
  <autoFilter ref="A1:H33"/>
</worksheet>
</file>

<file path=xl/worksheets/sheet3.xml><?xml version="1.0" encoding="utf-8"?>
<worksheet xmlns="http://schemas.openxmlformats.org/spreadsheetml/2006/main">
  <dimension ref="A1:H29"/>
  <sheetViews>
    <sheetView tabSelected="0" workbookViewId="0">
      <pane ySplit="1" topLeftCell="A2" activePane="bottomLeft" state="frozen"/>
    </sheetView>
  </sheetViews>
  <sheetFormatPr defaultRowHeight="16"/>
  <cols>
    <col min="1" max="1" width="39" customWidth="1"/>
    <col min="2" max="2" width="19" customWidth="1"/>
    <col min="3" max="3" width="19" customWidth="1"/>
    <col min="4" max="4" width="15" customWidth="1"/>
    <col min="5" max="5" width="15" customWidth="1"/>
    <col min="6" max="6" width="20" customWidth="1"/>
    <col min="7" max="7" width="23" customWidth="1"/>
    <col min="8" max="8" width="23" customWidth="1"/>
  </cols>
  <sheetData>
    <row r="1" ht="27" customHeight="1">
      <c r="A1" t="inlineStr" s="1">
        <is>
          <t xml:space="preserve">Solicitud</t>
        </is>
      </c>
      <c r="B1" t="inlineStr" s="1">
        <is>
          <t xml:space="preserve">Origen</t>
        </is>
      </c>
      <c r="C1" t="inlineStr" s="1">
        <is>
          <t xml:space="preserve">Destino</t>
        </is>
      </c>
      <c r="D1" t="inlineStr" s="1">
        <is>
          <t xml:space="preserve">Prioridad</t>
        </is>
      </c>
      <c r="E1" t="inlineStr" s="1">
        <is>
          <t xml:space="preserve">Estado</t>
        </is>
      </c>
      <c r="F1" t="inlineStr" s="1">
        <is>
          <t xml:space="preserve">Responsable</t>
        </is>
      </c>
      <c r="G1" t="inlineStr" s="1">
        <is>
          <t xml:space="preserve">FechaSolicitud</t>
        </is>
      </c>
      <c r="H1" t="inlineStr" s="1">
        <is>
          <t xml:space="preserve">FechaCierre</t>
        </is>
      </c>
    </row>
    <row r="2">
      <c r="A2" t="inlineStr">
        <is>
          <t xml:space="preserve">TR-005 · Hospitalización a UCI</t>
        </is>
      </c>
      <c r="B2" t="inlineStr">
        <is>
          <t xml:space="preserve">Hospitalización</t>
        </is>
      </c>
      <c r="C2" t="inlineStr">
        <is>
          <t xml:space="preserve">UCI</t>
        </is>
      </c>
      <c r="D2" t="inlineStr">
        <is>
          <t xml:space="preserve">Alta</t>
        </is>
      </c>
      <c r="E2" t="inlineStr">
        <is>
          <t xml:space="preserve">Cerrado</t>
        </is>
      </c>
      <c r="F2" t="inlineStr">
        <is>
          <t xml:space="preserve">Equipo A</t>
        </is>
      </c>
      <c r="G2" s="2">
        <v>46314.62777777778</v>
      </c>
      <c r="H2" s="2">
        <v>46314.70972222222</v>
      </c>
    </row>
    <row r="3">
      <c r="A3" t="inlineStr">
        <is>
          <t xml:space="preserve">TR-006 · Urgencias a UCI</t>
        </is>
      </c>
      <c r="B3" t="inlineStr">
        <is>
          <t xml:space="preserve">Urgencias</t>
        </is>
      </c>
      <c r="C3" t="inlineStr">
        <is>
          <t xml:space="preserve">UCI</t>
        </is>
      </c>
      <c r="D3" t="inlineStr">
        <is>
          <t xml:space="preserve">Baja</t>
        </is>
      </c>
      <c r="E3" t="inlineStr">
        <is>
          <t xml:space="preserve">Asignado</t>
        </is>
      </c>
      <c r="F3" t="inlineStr">
        <is>
          <t xml:space="preserve">Equipo A</t>
        </is>
      </c>
      <c r="G3" s="2">
        <v>46314.736805555556</v>
      </c>
    </row>
    <row r="4">
      <c r="A4" t="inlineStr">
        <is>
          <t xml:space="preserve">TR-007 · Urgencias a Hospitalización</t>
        </is>
      </c>
      <c r="B4" t="inlineStr">
        <is>
          <t xml:space="preserve">Urgencias</t>
        </is>
      </c>
      <c r="C4" t="inlineStr">
        <is>
          <t xml:space="preserve">Hospitalización</t>
        </is>
      </c>
      <c r="D4" t="inlineStr">
        <is>
          <t xml:space="preserve">Media</t>
        </is>
      </c>
      <c r="E4" t="inlineStr">
        <is>
          <t xml:space="preserve">Asignado</t>
        </is>
      </c>
      <c r="F4" t="inlineStr">
        <is>
          <t xml:space="preserve">Equipo B</t>
        </is>
      </c>
      <c r="G4" s="2">
        <v>46314.79375</v>
      </c>
    </row>
    <row r="5">
      <c r="A5" t="inlineStr">
        <is>
          <t xml:space="preserve">TR-008 · Hospitalización a UCI</t>
        </is>
      </c>
      <c r="B5" t="inlineStr">
        <is>
          <t xml:space="preserve">Hospitalización</t>
        </is>
      </c>
      <c r="C5" t="inlineStr">
        <is>
          <t xml:space="preserve">UCI</t>
        </is>
      </c>
      <c r="D5" t="inlineStr">
        <is>
          <t xml:space="preserve">Media</t>
        </is>
      </c>
      <c r="E5" t="inlineStr">
        <is>
          <t xml:space="preserve">Cerrado</t>
        </is>
      </c>
      <c r="F5" t="inlineStr">
        <is>
          <t xml:space="preserve">Equipo C</t>
        </is>
      </c>
      <c r="G5" s="2">
        <v>46314.885416666664</v>
      </c>
      <c r="H5" s="2">
        <v>46315.175</v>
      </c>
    </row>
    <row r="6">
      <c r="A6" t="inlineStr">
        <is>
          <t xml:space="preserve">TR-009 · UCI a Hospitalización</t>
        </is>
      </c>
      <c r="B6" t="inlineStr">
        <is>
          <t xml:space="preserve">UCI</t>
        </is>
      </c>
      <c r="C6" t="inlineStr">
        <is>
          <t xml:space="preserve">Hospitalización</t>
        </is>
      </c>
      <c r="D6" t="inlineStr">
        <is>
          <t xml:space="preserve">Baja</t>
        </is>
      </c>
      <c r="E6" t="inlineStr">
        <is>
          <t xml:space="preserve">Asignado</t>
        </is>
      </c>
      <c r="F6" t="inlineStr">
        <is>
          <t xml:space="preserve">Equipo B</t>
        </is>
      </c>
      <c r="G6" s="2">
        <v>46315.004166666666</v>
      </c>
    </row>
    <row r="7">
      <c r="A7" t="inlineStr">
        <is>
          <t xml:space="preserve">TR-010 · Quirófano a UCI</t>
        </is>
      </c>
      <c r="B7" t="inlineStr">
        <is>
          <t xml:space="preserve">Quirófano</t>
        </is>
      </c>
      <c r="C7" t="inlineStr">
        <is>
          <t xml:space="preserve">UCI</t>
        </is>
      </c>
      <c r="D7" t="inlineStr">
        <is>
          <t xml:space="preserve">Media</t>
        </is>
      </c>
      <c r="E7" t="inlineStr">
        <is>
          <t xml:space="preserve">Cerrado</t>
        </is>
      </c>
      <c r="F7" t="inlineStr">
        <is>
          <t xml:space="preserve">Equipo A</t>
        </is>
      </c>
      <c r="G7" s="2">
        <v>46315.08263888889</v>
      </c>
      <c r="H7" s="2">
        <v>46315.37291666667</v>
      </c>
    </row>
    <row r="8">
      <c r="A8" t="inlineStr">
        <is>
          <t xml:space="preserve">TR-011 · Hospitalización a UCI</t>
        </is>
      </c>
      <c r="B8" t="inlineStr">
        <is>
          <t xml:space="preserve">Hospitalización</t>
        </is>
      </c>
      <c r="C8" t="inlineStr">
        <is>
          <t xml:space="preserve">UCI</t>
        </is>
      </c>
      <c r="D8" t="inlineStr">
        <is>
          <t xml:space="preserve">Baja</t>
        </is>
      </c>
      <c r="E8" t="inlineStr">
        <is>
          <t xml:space="preserve">Asignado</t>
        </is>
      </c>
      <c r="F8" t="inlineStr">
        <is>
          <t xml:space="preserve">Equipo B</t>
        </is>
      </c>
      <c r="G8" s="2">
        <v>46315.149305555555</v>
      </c>
    </row>
    <row r="9">
      <c r="A9" t="inlineStr">
        <is>
          <t xml:space="preserve">TR-012 · Urgencias a Hospitalización</t>
        </is>
      </c>
      <c r="B9" t="inlineStr">
        <is>
          <t xml:space="preserve">Urgencias</t>
        </is>
      </c>
      <c r="C9" t="inlineStr">
        <is>
          <t xml:space="preserve">Hospitalización</t>
        </is>
      </c>
      <c r="D9" t="inlineStr">
        <is>
          <t xml:space="preserve">Alta</t>
        </is>
      </c>
      <c r="E9" t="inlineStr">
        <is>
          <t xml:space="preserve">Creado</t>
        </is>
      </c>
      <c r="F9" t="inlineStr">
        <is>
          <t xml:space="preserve">Sin asignar</t>
        </is>
      </c>
      <c r="G9" s="2">
        <v>46315.25625</v>
      </c>
    </row>
    <row r="10">
      <c r="A10" t="inlineStr">
        <is>
          <t xml:space="preserve">TR-013 · Quirófano a Imágenes</t>
        </is>
      </c>
      <c r="B10" t="inlineStr">
        <is>
          <t xml:space="preserve">Quirófano</t>
        </is>
      </c>
      <c r="C10" t="inlineStr">
        <is>
          <t xml:space="preserve">Imágenes</t>
        </is>
      </c>
      <c r="D10" t="inlineStr">
        <is>
          <t xml:space="preserve">Alta</t>
        </is>
      </c>
      <c r="E10" t="inlineStr">
        <is>
          <t xml:space="preserve">Asignado</t>
        </is>
      </c>
      <c r="F10" t="inlineStr">
        <is>
          <t xml:space="preserve">Equipo A</t>
        </is>
      </c>
      <c r="G10" s="2">
        <v>46315.30902777778</v>
      </c>
    </row>
    <row r="11">
      <c r="A11" t="inlineStr">
        <is>
          <t xml:space="preserve">TR-014 · Quirófano a Hospitalización</t>
        </is>
      </c>
      <c r="B11" t="inlineStr">
        <is>
          <t xml:space="preserve">Quirófano</t>
        </is>
      </c>
      <c r="C11" t="inlineStr">
        <is>
          <t xml:space="preserve">Hospitalización</t>
        </is>
      </c>
      <c r="D11" t="inlineStr">
        <is>
          <t xml:space="preserve">Baja</t>
        </is>
      </c>
      <c r="E11" t="inlineStr">
        <is>
          <t xml:space="preserve">Creado</t>
        </is>
      </c>
      <c r="F11" t="inlineStr">
        <is>
          <t xml:space="preserve">Sin asignar</t>
        </is>
      </c>
      <c r="G11" s="2">
        <v>46315.41736111111</v>
      </c>
    </row>
    <row r="12">
      <c r="A12" t="inlineStr">
        <is>
          <t xml:space="preserve">TR-015 · Hospitalización a Imágenes</t>
        </is>
      </c>
      <c r="B12" t="inlineStr">
        <is>
          <t xml:space="preserve">Hospitalización</t>
        </is>
      </c>
      <c r="C12" t="inlineStr">
        <is>
          <t xml:space="preserve">Imágenes</t>
        </is>
      </c>
      <c r="D12" t="inlineStr">
        <is>
          <t xml:space="preserve">Baja</t>
        </is>
      </c>
      <c r="E12" t="inlineStr">
        <is>
          <t xml:space="preserve">Asignado</t>
        </is>
      </c>
      <c r="F12" t="inlineStr">
        <is>
          <t xml:space="preserve">Equipo C</t>
        </is>
      </c>
      <c r="G12" s="2">
        <v>46315.490277777775</v>
      </c>
    </row>
    <row r="13">
      <c r="A13" t="inlineStr">
        <is>
          <t xml:space="preserve">TR-016 · Urgencias a Imágenes</t>
        </is>
      </c>
      <c r="B13" t="inlineStr">
        <is>
          <t xml:space="preserve">Urgencias</t>
        </is>
      </c>
      <c r="C13" t="inlineStr">
        <is>
          <t xml:space="preserve">Imágenes</t>
        </is>
      </c>
      <c r="D13" t="inlineStr">
        <is>
          <t xml:space="preserve">Media</t>
        </is>
      </c>
      <c r="E13" t="inlineStr">
        <is>
          <t xml:space="preserve">Cerrado</t>
        </is>
      </c>
      <c r="F13" t="inlineStr">
        <is>
          <t xml:space="preserve">Equipo A</t>
        </is>
      </c>
      <c r="G13" s="2">
        <v>46315.54305555556</v>
      </c>
      <c r="H13" s="2">
        <v>46315.65347222222</v>
      </c>
    </row>
    <row r="14">
      <c r="A14" t="inlineStr">
        <is>
          <t xml:space="preserve">TR-017 · Urgencias a Hospitalización</t>
        </is>
      </c>
      <c r="B14" t="inlineStr">
        <is>
          <t xml:space="preserve">Urgencias</t>
        </is>
      </c>
      <c r="C14" t="inlineStr">
        <is>
          <t xml:space="preserve">Hospitalización</t>
        </is>
      </c>
      <c r="D14" t="inlineStr">
        <is>
          <t xml:space="preserve">Baja</t>
        </is>
      </c>
      <c r="E14" t="inlineStr">
        <is>
          <t xml:space="preserve">Cerrado</t>
        </is>
      </c>
      <c r="F14" t="inlineStr">
        <is>
          <t xml:space="preserve">Equipo B</t>
        </is>
      </c>
      <c r="G14" s="2">
        <v>46315.649305555555</v>
      </c>
      <c r="H14" s="2">
        <v>46315.799305555556</v>
      </c>
    </row>
    <row r="15">
      <c r="A15" t="inlineStr">
        <is>
          <t xml:space="preserve">TR-018 · Quirófano a Imágenes</t>
        </is>
      </c>
      <c r="B15" t="inlineStr">
        <is>
          <t xml:space="preserve">Quirófano</t>
        </is>
      </c>
      <c r="C15" t="inlineStr">
        <is>
          <t xml:space="preserve">Imágenes</t>
        </is>
      </c>
      <c r="D15" t="inlineStr">
        <is>
          <t xml:space="preserve">Media</t>
        </is>
      </c>
      <c r="E15" t="inlineStr">
        <is>
          <t xml:space="preserve">Creado</t>
        </is>
      </c>
      <c r="F15" t="inlineStr">
        <is>
          <t xml:space="preserve">Sin asignar</t>
        </is>
      </c>
      <c r="G15" s="2">
        <v>46315.75625</v>
      </c>
    </row>
    <row r="16">
      <c r="A16" t="inlineStr">
        <is>
          <t xml:space="preserve">TR-019 · Quirófano a UCI</t>
        </is>
      </c>
      <c r="B16" t="inlineStr">
        <is>
          <t xml:space="preserve">Quirófano</t>
        </is>
      </c>
      <c r="C16" t="inlineStr">
        <is>
          <t xml:space="preserve">UCI</t>
        </is>
      </c>
      <c r="D16" t="inlineStr">
        <is>
          <t xml:space="preserve">Baja</t>
        </is>
      </c>
      <c r="E16" t="inlineStr">
        <is>
          <t xml:space="preserve">Cerrado</t>
        </is>
      </c>
      <c r="F16" t="inlineStr">
        <is>
          <t xml:space="preserve">Equipo B</t>
        </is>
      </c>
      <c r="G16" s="2">
        <v>46315.816666666666</v>
      </c>
      <c r="H16" s="2">
        <v>46315.95694444444</v>
      </c>
    </row>
    <row r="17">
      <c r="A17" t="inlineStr">
        <is>
          <t xml:space="preserve">TR-020 · UCI a Quirófano</t>
        </is>
      </c>
      <c r="B17" t="inlineStr">
        <is>
          <t xml:space="preserve">UCI</t>
        </is>
      </c>
      <c r="C17" t="inlineStr">
        <is>
          <t xml:space="preserve">Quirófano</t>
        </is>
      </c>
      <c r="D17" t="inlineStr">
        <is>
          <t xml:space="preserve">Baja</t>
        </is>
      </c>
      <c r="E17" t="inlineStr">
        <is>
          <t xml:space="preserve">Cerrado</t>
        </is>
      </c>
      <c r="F17" t="inlineStr">
        <is>
          <t xml:space="preserve">Equipo A</t>
        </is>
      </c>
      <c r="G17" s="2">
        <v>46315.881944444445</v>
      </c>
      <c r="H17" s="2">
        <v>46315.95208333333</v>
      </c>
    </row>
    <row r="18">
      <c r="A18" t="inlineStr">
        <is>
          <t xml:space="preserve">TR-021 · UCI a Imágenes</t>
        </is>
      </c>
      <c r="B18" t="inlineStr">
        <is>
          <t xml:space="preserve">UCI</t>
        </is>
      </c>
      <c r="C18" t="inlineStr">
        <is>
          <t xml:space="preserve">Imágenes</t>
        </is>
      </c>
      <c r="D18" t="inlineStr">
        <is>
          <t xml:space="preserve">Alta</t>
        </is>
      </c>
      <c r="E18" t="inlineStr">
        <is>
          <t xml:space="preserve">Cerrado</t>
        </is>
      </c>
      <c r="F18" t="inlineStr">
        <is>
          <t xml:space="preserve">Equipo A</t>
        </is>
      </c>
      <c r="G18" s="2">
        <v>46315.99652777778</v>
      </c>
      <c r="H18" s="2">
        <v>46316.259722222225</v>
      </c>
    </row>
    <row r="19">
      <c r="A19" t="inlineStr">
        <is>
          <t xml:space="preserve">TR-022 · Quirófano a Imágenes</t>
        </is>
      </c>
      <c r="B19" t="inlineStr">
        <is>
          <t xml:space="preserve">Quirófano</t>
        </is>
      </c>
      <c r="C19" t="inlineStr">
        <is>
          <t xml:space="preserve">Imágenes</t>
        </is>
      </c>
      <c r="D19" t="inlineStr">
        <is>
          <t xml:space="preserve">Media</t>
        </is>
      </c>
      <c r="E19" t="inlineStr">
        <is>
          <t xml:space="preserve">Cerrado</t>
        </is>
      </c>
      <c r="F19" t="inlineStr">
        <is>
          <t xml:space="preserve">Equipo C</t>
        </is>
      </c>
      <c r="G19" s="2">
        <v>46316.07847222222</v>
      </c>
      <c r="H19" s="2">
        <v>46316.251388888886</v>
      </c>
    </row>
    <row r="20">
      <c r="A20" t="inlineStr">
        <is>
          <t xml:space="preserve">TR-023 · Urgencias a Quirófano</t>
        </is>
      </c>
      <c r="B20" t="inlineStr">
        <is>
          <t xml:space="preserve">Urgencias</t>
        </is>
      </c>
      <c r="C20" t="inlineStr">
        <is>
          <t xml:space="preserve">Quirófano</t>
        </is>
      </c>
      <c r="D20" t="inlineStr">
        <is>
          <t xml:space="preserve">Media</t>
        </is>
      </c>
      <c r="E20" t="inlineStr">
        <is>
          <t xml:space="preserve">Cerrado</t>
        </is>
      </c>
      <c r="F20" t="inlineStr">
        <is>
          <t xml:space="preserve">Equipo C</t>
        </is>
      </c>
      <c r="G20" s="2">
        <v>46316.131944444445</v>
      </c>
      <c r="H20" s="2">
        <v>46316.29652777778</v>
      </c>
    </row>
    <row r="21">
      <c r="A21" t="inlineStr">
        <is>
          <t xml:space="preserve">TR-024 · Urgencias a Quirófano</t>
        </is>
      </c>
      <c r="B21" t="inlineStr">
        <is>
          <t xml:space="preserve">Urgencias</t>
        </is>
      </c>
      <c r="C21" t="inlineStr">
        <is>
          <t xml:space="preserve">Quirófano</t>
        </is>
      </c>
      <c r="D21" t="inlineStr">
        <is>
          <t xml:space="preserve">Media</t>
        </is>
      </c>
      <c r="E21" t="inlineStr">
        <is>
          <t xml:space="preserve">Asignado</t>
        </is>
      </c>
      <c r="F21" t="inlineStr">
        <is>
          <t xml:space="preserve">Equipo A</t>
        </is>
      </c>
      <c r="G21" s="2">
        <v>46316.22777777778</v>
      </c>
    </row>
    <row r="22">
      <c r="A22" t="inlineStr">
        <is>
          <t xml:space="preserve">TR-025 · Urgencias a Imágenes</t>
        </is>
      </c>
      <c r="B22" t="inlineStr">
        <is>
          <t xml:space="preserve">Urgencias</t>
        </is>
      </c>
      <c r="C22" t="inlineStr">
        <is>
          <t xml:space="preserve">Imágenes</t>
        </is>
      </c>
      <c r="D22" t="inlineStr">
        <is>
          <t xml:space="preserve">Baja</t>
        </is>
      </c>
      <c r="E22" t="inlineStr">
        <is>
          <t xml:space="preserve">Creado</t>
        </is>
      </c>
      <c r="F22" t="inlineStr">
        <is>
          <t xml:space="preserve">Sin asignar</t>
        </is>
      </c>
      <c r="G22" s="2">
        <v>46316.325</v>
      </c>
    </row>
    <row r="23">
      <c r="A23" t="inlineStr">
        <is>
          <t xml:space="preserve">TR-026 · Urgencias a Imágenes</t>
        </is>
      </c>
      <c r="B23" t="inlineStr">
        <is>
          <t xml:space="preserve">Urgencias</t>
        </is>
      </c>
      <c r="C23" t="inlineStr">
        <is>
          <t xml:space="preserve">Imágenes</t>
        </is>
      </c>
      <c r="D23" t="inlineStr">
        <is>
          <t xml:space="preserve">Media</t>
        </is>
      </c>
      <c r="E23" t="inlineStr">
        <is>
          <t xml:space="preserve">Asignado</t>
        </is>
      </c>
      <c r="F23" t="inlineStr">
        <is>
          <t xml:space="preserve">Equipo C</t>
        </is>
      </c>
      <c r="G23" s="2">
        <v>46316.39722222222</v>
      </c>
    </row>
    <row r="24">
      <c r="A24" t="inlineStr">
        <is>
          <t xml:space="preserve">TR-027 · Urgencias a UCI</t>
        </is>
      </c>
      <c r="B24" t="inlineStr">
        <is>
          <t xml:space="preserve">Urgencias</t>
        </is>
      </c>
      <c r="C24" t="inlineStr">
        <is>
          <t xml:space="preserve">UCI</t>
        </is>
      </c>
      <c r="D24" t="inlineStr">
        <is>
          <t xml:space="preserve">Alta</t>
        </is>
      </c>
      <c r="E24" t="inlineStr">
        <is>
          <t xml:space="preserve">Cerrado</t>
        </is>
      </c>
      <c r="F24" t="inlineStr">
        <is>
          <t xml:space="preserve">Equipo B</t>
        </is>
      </c>
      <c r="G24" s="2">
        <v>46316.50555555556</v>
      </c>
      <c r="H24" s="2">
        <v>46316.56041666667</v>
      </c>
    </row>
    <row r="25">
      <c r="A25" t="inlineStr">
        <is>
          <t xml:space="preserve">TR-028 · Hospitalización a Imágenes</t>
        </is>
      </c>
      <c r="B25" t="inlineStr">
        <is>
          <t xml:space="preserve">Hospitalización</t>
        </is>
      </c>
      <c r="C25" t="inlineStr">
        <is>
          <t xml:space="preserve">Imágenes</t>
        </is>
      </c>
      <c r="D25" t="inlineStr">
        <is>
          <t xml:space="preserve">Media</t>
        </is>
      </c>
      <c r="E25" t="inlineStr">
        <is>
          <t xml:space="preserve">Cerrado</t>
        </is>
      </c>
      <c r="F25" t="inlineStr">
        <is>
          <t xml:space="preserve">Equipo A</t>
        </is>
      </c>
      <c r="G25" s="2">
        <v>46316.561111111114</v>
      </c>
      <c r="H25" s="2">
        <v>46316.709027777775</v>
      </c>
    </row>
    <row r="26">
      <c r="A26" t="inlineStr">
        <is>
          <t xml:space="preserve">TR-029 · Hospitalización a Quirófano</t>
        </is>
      </c>
      <c r="B26" t="inlineStr">
        <is>
          <t xml:space="preserve">Hospitalización</t>
        </is>
      </c>
      <c r="C26" t="inlineStr">
        <is>
          <t xml:space="preserve">Quirófano</t>
        </is>
      </c>
      <c r="D26" t="inlineStr">
        <is>
          <t xml:space="preserve">Media</t>
        </is>
      </c>
      <c r="E26" t="inlineStr">
        <is>
          <t xml:space="preserve">Cerrado</t>
        </is>
      </c>
      <c r="F26" t="inlineStr">
        <is>
          <t xml:space="preserve">Equipo B</t>
        </is>
      </c>
      <c r="G26" s="2">
        <v>46316.66388888889</v>
      </c>
      <c r="H26" s="2">
        <v>46316.705555555556</v>
      </c>
    </row>
    <row r="27">
      <c r="A27" t="inlineStr">
        <is>
          <t xml:space="preserve">TR-030 · Quirófano a Imágenes</t>
        </is>
      </c>
      <c r="B27" t="inlineStr">
        <is>
          <t xml:space="preserve">Quirófano</t>
        </is>
      </c>
      <c r="C27" t="inlineStr">
        <is>
          <t xml:space="preserve">Imágenes</t>
        </is>
      </c>
      <c r="D27" t="inlineStr">
        <is>
          <t xml:space="preserve">Media</t>
        </is>
      </c>
      <c r="E27" t="inlineStr">
        <is>
          <t xml:space="preserve">Creado</t>
        </is>
      </c>
      <c r="F27" t="inlineStr">
        <is>
          <t xml:space="preserve">Sin asignar</t>
        </is>
      </c>
      <c r="G27" s="2">
        <v>46316.72152777778</v>
      </c>
    </row>
    <row r="28">
      <c r="A28" t="inlineStr">
        <is>
          <t xml:space="preserve">TR-031 · Hospitalización a Quirófano</t>
        </is>
      </c>
      <c r="B28" t="inlineStr">
        <is>
          <t xml:space="preserve">Hospitalización</t>
        </is>
      </c>
      <c r="C28" t="inlineStr">
        <is>
          <t xml:space="preserve">Quirófano</t>
        </is>
      </c>
      <c r="D28" t="inlineStr">
        <is>
          <t xml:space="preserve">Media</t>
        </is>
      </c>
      <c r="E28" t="inlineStr">
        <is>
          <t xml:space="preserve">Asignado</t>
        </is>
      </c>
      <c r="F28" t="inlineStr">
        <is>
          <t xml:space="preserve">Equipo B</t>
        </is>
      </c>
      <c r="G28" s="2">
        <v>46316.80694444444</v>
      </c>
    </row>
    <row r="29">
      <c r="A29" t="inlineStr">
        <is>
          <t xml:space="preserve">TR-032 · Hospitalización a Quirófano</t>
        </is>
      </c>
      <c r="B29" t="inlineStr">
        <is>
          <t xml:space="preserve">Hospitalización</t>
        </is>
      </c>
      <c r="C29" t="inlineStr">
        <is>
          <t xml:space="preserve">Quirófano</t>
        </is>
      </c>
      <c r="D29" t="inlineStr">
        <is>
          <t xml:space="preserve">Alta</t>
        </is>
      </c>
      <c r="E29" t="inlineStr">
        <is>
          <t xml:space="preserve">Cerrado</t>
        </is>
      </c>
      <c r="F29" t="inlineStr">
        <is>
          <t xml:space="preserve">Equipo A</t>
        </is>
      </c>
      <c r="G29" s="2">
        <v>46316.89375</v>
      </c>
      <c r="H29" s="2">
        <v>46317.07916666667</v>
      </c>
    </row>
  </sheetData>
  <autoFilter ref="A1:H29"/>
</worksheet>
</file>

<file path=xl/worksheets/sheet4.xml><?xml version="1.0" encoding="utf-8"?>
<worksheet xmlns="http://schemas.openxmlformats.org/spreadsheetml/2006/main">
  <dimension ref="A1:B15"/>
  <sheetViews>
    <sheetView tabSelected="0" workbookViewId="0"/>
  </sheetViews>
  <sheetFormatPr defaultRowHeight="16"/>
  <cols>
    <col min="1" max="1" width="39" customWidth="1"/>
    <col min="2" max="2" width="19" customWidth="1"/>
    <col min="3" max="3" width="19" customWidth="1"/>
    <col min="4" max="4" width="15" customWidth="1"/>
    <col min="5" max="5" width="15" customWidth="1"/>
    <col min="6" max="6" width="20" customWidth="1"/>
    <col min="7" max="7" width="23" customWidth="1"/>
    <col min="8" max="8" width="23" customWidth="1"/>
  </cols>
  <sheetData>
    <row r="1" ht="27" customHeight="1">
      <c r="A1" t="inlineStr">
        <is>
          <t xml:space="preserve">Indicador</t>
        </is>
      </c>
      <c r="B1" t="inlineStr">
        <is>
          <t xml:space="preserve">Valor</t>
        </is>
      </c>
    </row>
    <row r="2">
      <c r="A2" t="inlineStr">
        <is>
          <t xml:space="preserve">Solicitudes</t>
        </is>
      </c>
      <c r="B2">
        <f>COUNTA('01_BASE_32'!A2:A33)</f>
        <v>0</v>
      </c>
    </row>
    <row r="3">
      <c r="A3" t="inlineStr">
        <is>
          <t xml:space="preserve">Creado</t>
        </is>
      </c>
      <c r="B3">
        <f>COUNTIF('01_BASE_32'!E2:E33,"Creado")</f>
        <v>0</v>
      </c>
    </row>
    <row r="4">
      <c r="A4" t="inlineStr">
        <is>
          <t xml:space="preserve">Asignado</t>
        </is>
      </c>
      <c r="B4">
        <f>COUNTIF('01_BASE_32'!E2:E33,"Asignado")</f>
        <v>0</v>
      </c>
    </row>
    <row r="5">
      <c r="A5" t="inlineStr">
        <is>
          <t xml:space="preserve">Cerrado</t>
        </is>
      </c>
      <c r="B5">
        <f>COUNTIF('01_BASE_32'!E2:E33,"Cerrado")</f>
        <v>0</v>
      </c>
    </row>
    <row r="6">
      <c r="A6" t="inlineStr">
        <is>
          <t xml:space="preserve">Porcentaje cerrado</t>
        </is>
      </c>
      <c r="B6">
        <f>IFERROR(B5/B2,0)</f>
        <v>0</v>
      </c>
    </row>
    <row r="7"/>
    <row r="8">
      <c r="A8" t="inlineStr">
        <is>
          <t xml:space="preserve">Origen</t>
        </is>
      </c>
      <c r="B8" t="inlineStr">
        <is>
          <t xml:space="preserve">Recuento</t>
        </is>
      </c>
    </row>
    <row r="9">
      <c r="A9" t="inlineStr">
        <is>
          <t xml:space="preserve">Urgencias</t>
        </is>
      </c>
      <c r="B9">
        <f>COUNTIF('01_BASE_32'!B2:B33,"Urgencias")</f>
        <v>0</v>
      </c>
    </row>
    <row r="10">
      <c r="A10" t="inlineStr">
        <is>
          <t xml:space="preserve">Hospitalización</t>
        </is>
      </c>
      <c r="B10">
        <f>COUNTIF('01_BASE_32'!B2:B33,"Hospitalización")</f>
        <v>0</v>
      </c>
    </row>
    <row r="11">
      <c r="A11" t="inlineStr">
        <is>
          <t xml:space="preserve">UCI</t>
        </is>
      </c>
      <c r="B11">
        <f>COUNTIF('01_BASE_32'!B2:B33,"UCI")</f>
        <v>0</v>
      </c>
    </row>
    <row r="12">
      <c r="A12" t="inlineStr">
        <is>
          <t xml:space="preserve">Quirófano</t>
        </is>
      </c>
      <c r="B12">
        <f>COUNTIF('01_BASE_32'!B2:B33,"Quirófano")</f>
        <v>0</v>
      </c>
    </row>
    <row r="13"/>
    <row r="14">
      <c r="A14" t="inlineStr">
        <is>
          <t xml:space="preserve">Nota</t>
        </is>
      </c>
      <c r="B14" t="inlineStr">
        <is>
          <t xml:space="preserve">Los datos se recalculan al abrir en Excel; cambia las referencias si agregas filas.</t>
        </is>
      </c>
    </row>
    <row r="15">
      <c r="A15" t="inlineStr">
        <is>
          <t xml:space="preserve">Regla de tiempo</t>
        </is>
      </c>
      <c r="B15" t="inlineStr">
        <is>
          <t xml:space="preserve">Promedia solo Cerrado + FechaSolicitud y FechaCierre válidas + fecha final &gt;= inicial.</t>
        </is>
      </c>
    </row>
  </sheetData>
</worksheet>
</file>

<file path=xl/worksheets/sheet5.xml><?xml version="1.0" encoding="utf-8"?>
<worksheet xmlns="http://schemas.openxmlformats.org/spreadsheetml/2006/main">
  <dimension ref="A1:C9"/>
  <sheetViews>
    <sheetView tabSelected="0" workbookViewId="0">
      <pane ySplit="1" topLeftCell="A2" activePane="bottomLeft" state="frozen"/>
    </sheetView>
  </sheetViews>
  <sheetFormatPr defaultRowHeight="16"/>
  <cols>
    <col min="1" max="1" width="39" customWidth="1"/>
    <col min="2" max="2" width="19" customWidth="1"/>
    <col min="3" max="3" width="19" customWidth="1"/>
    <col min="4" max="4" width="15" customWidth="1"/>
    <col min="5" max="5" width="15" customWidth="1"/>
    <col min="6" max="6" width="20" customWidth="1"/>
    <col min="7" max="7" width="23" customWidth="1"/>
    <col min="8" max="8" width="23" customWidth="1"/>
  </cols>
  <sheetData>
    <row r="1" ht="27" customHeight="1">
      <c r="A1" t="inlineStr">
        <is>
          <t xml:space="preserve">Campo</t>
        </is>
      </c>
      <c r="B1" t="inlineStr">
        <is>
          <t xml:space="preserve">Tipo</t>
        </is>
      </c>
      <c r="C1" t="inlineStr">
        <is>
          <t xml:space="preserve">Validación o alternativas</t>
        </is>
      </c>
    </row>
    <row r="2">
      <c r="A2" t="inlineStr">
        <is>
          <t xml:space="preserve">Solicitud</t>
        </is>
      </c>
      <c r="B2" t="inlineStr">
        <is>
          <t xml:space="preserve">Texto</t>
        </is>
      </c>
      <c r="C2" t="inlineStr">
        <is>
          <t xml:space="preserve">Obligatorio</t>
        </is>
      </c>
    </row>
    <row r="3">
      <c r="A3" t="inlineStr">
        <is>
          <t xml:space="preserve">Origen</t>
        </is>
      </c>
      <c r="B3" t="inlineStr">
        <is>
          <t xml:space="preserve">Elección</t>
        </is>
      </c>
      <c r="C3" t="inlineStr">
        <is>
          <t xml:space="preserve">Urgencias · Hospitalización · UCI · Quirófano</t>
        </is>
      </c>
    </row>
    <row r="4">
      <c r="A4" t="inlineStr">
        <is>
          <t xml:space="preserve">Destino</t>
        </is>
      </c>
      <c r="B4" t="inlineStr">
        <is>
          <t xml:space="preserve">Elección</t>
        </is>
      </c>
      <c r="C4" t="inlineStr">
        <is>
          <t xml:space="preserve">Hospitalización · UCI · Imágenes · Quirófano</t>
        </is>
      </c>
    </row>
    <row r="5">
      <c r="A5" t="inlineStr">
        <is>
          <t xml:space="preserve">Prioridad</t>
        </is>
      </c>
      <c r="B5" t="inlineStr">
        <is>
          <t xml:space="preserve">Elección</t>
        </is>
      </c>
      <c r="C5" t="inlineStr">
        <is>
          <t xml:space="preserve">Alta · Media · Baja</t>
        </is>
      </c>
    </row>
    <row r="6">
      <c r="A6" t="inlineStr">
        <is>
          <t xml:space="preserve">Estado</t>
        </is>
      </c>
      <c r="B6" t="inlineStr">
        <is>
          <t xml:space="preserve">Elección</t>
        </is>
      </c>
      <c r="C6" t="inlineStr">
        <is>
          <t xml:space="preserve">Creado · Asignado · Cerrado</t>
        </is>
      </c>
    </row>
    <row r="7">
      <c r="A7" t="inlineStr">
        <is>
          <t xml:space="preserve">Responsable</t>
        </is>
      </c>
      <c r="B7" t="inlineStr">
        <is>
          <t xml:space="preserve">Elección</t>
        </is>
      </c>
      <c r="C7" t="inlineStr">
        <is>
          <t xml:space="preserve">Sin asignar · Equipo A · Equipo B · Equipo C</t>
        </is>
      </c>
    </row>
    <row r="8">
      <c r="A8" t="inlineStr">
        <is>
          <t xml:space="preserve">FechaSolicitud</t>
        </is>
      </c>
      <c r="B8" t="inlineStr">
        <is>
          <t xml:space="preserve">Fecha y hora</t>
        </is>
      </c>
      <c r="C8" t="inlineStr">
        <is>
          <t xml:space="preserve">Obligatoria</t>
        </is>
      </c>
    </row>
    <row r="9">
      <c r="A9" t="inlineStr">
        <is>
          <t xml:space="preserve">FechaCierre</t>
        </is>
      </c>
      <c r="B9" t="inlineStr">
        <is>
          <t xml:space="preserve">Fecha y hora</t>
        </is>
      </c>
      <c r="C9" t="inlineStr">
        <is>
          <t xml:space="preserve">Opcional. Solo para cerrados.</t>
        </is>
      </c>
    </row>
  </sheetData>
</worksheet>
</file>